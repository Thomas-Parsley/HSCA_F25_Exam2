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00757433D71763/Documents/"/>
    </mc:Choice>
  </mc:AlternateContent>
  <xr:revisionPtr revIDLastSave="104" documentId="8_{F6F2EDA6-F646-4CB9-8403-D60A46E679D6}" xr6:coauthVersionLast="47" xr6:coauthVersionMax="47" xr10:uidLastSave="{1F7D8441-6119-4414-9451-7F23F3D70602}"/>
  <bookViews>
    <workbookView xWindow="-120" yWindow="-120" windowWidth="29040" windowHeight="15720" xr2:uid="{59647B3D-AEE2-4CA4-B835-EE19DD1B2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B5" i="1"/>
  <c r="C5" i="1"/>
  <c r="D5" i="1"/>
  <c r="B6" i="1" s="1"/>
  <c r="E5" i="1"/>
  <c r="F5" i="1" s="1"/>
  <c r="E6" i="1" l="1"/>
  <c r="F6" i="1" s="1"/>
  <c r="D6" i="1"/>
  <c r="B7" i="1" s="1"/>
  <c r="D7" i="1" l="1"/>
  <c r="E7" i="1"/>
  <c r="F7" i="1" s="1"/>
  <c r="B8" i="1" l="1"/>
  <c r="E8" i="1" s="1"/>
  <c r="F8" i="1" s="1"/>
  <c r="C8" i="1"/>
  <c r="D8" i="1" l="1"/>
  <c r="B9" i="1" s="1"/>
  <c r="E9" i="1" s="1"/>
  <c r="F9" i="1" s="1"/>
  <c r="C9" i="1" l="1"/>
  <c r="D9" i="1" l="1"/>
  <c r="B10" i="1" s="1"/>
  <c r="E10" i="1" s="1"/>
  <c r="F10" i="1" s="1"/>
  <c r="C10" i="1" l="1"/>
  <c r="D10" i="1" l="1"/>
  <c r="B11" i="1" s="1"/>
  <c r="E11" i="1" s="1"/>
  <c r="F11" i="1" s="1"/>
  <c r="C11" i="1" l="1"/>
  <c r="D11" i="1" l="1"/>
  <c r="B12" i="1" s="1"/>
  <c r="E12" i="1" s="1"/>
  <c r="F12" i="1" s="1"/>
  <c r="C12" i="1" l="1"/>
  <c r="D12" i="1" l="1"/>
  <c r="B13" i="1" s="1"/>
  <c r="E13" i="1" s="1"/>
  <c r="F13" i="1" s="1"/>
  <c r="C13" i="1" l="1"/>
  <c r="D13" i="1" s="1"/>
</calcChain>
</file>

<file path=xl/sharedStrings.xml><?xml version="1.0" encoding="utf-8"?>
<sst xmlns="http://schemas.openxmlformats.org/spreadsheetml/2006/main" count="9" uniqueCount="9">
  <si>
    <t>i</t>
  </si>
  <si>
    <t>q*K</t>
  </si>
  <si>
    <t>r*K</t>
  </si>
  <si>
    <t>Error</t>
  </si>
  <si>
    <t>bit</t>
  </si>
  <si>
    <t>D(Y)</t>
  </si>
  <si>
    <t>N(X)</t>
  </si>
  <si>
    <t>IA(K_0)</t>
  </si>
  <si>
    <t>(2-D*Xi)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</si>
</sst>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2D7B-820D-41F8-90AF-FC47B55F972D}">
  <dimension ref="A1:F13"/>
  <sheetViews>
    <sheetView tabSelected="1" workbookViewId="0">
      <selection activeCell="F14" sqref="F14"/>
    </sheetView>
  </sheetViews>
  <sheetFormatPr defaultRowHeight="15" x14ac:dyDescent="0.25"/>
  <cols>
    <col min="1" max="1" width="20.85546875" customWidth="1"/>
    <col min="2" max="2" width="19.85546875" customWidth="1"/>
    <col min="3" max="3" width="18.85546875" customWidth="1"/>
    <col min="4" max="4" width="18.140625" customWidth="1"/>
    <col min="5" max="5" width="20.5703125" customWidth="1"/>
    <col min="6" max="6" width="14.85546875" customWidth="1"/>
  </cols>
  <sheetData>
    <row r="1" spans="1:6" x14ac:dyDescent="0.25">
      <c r="A1">
        <v>1.9302831899999999</v>
      </c>
      <c r="B1" t="s">
        <v>6</v>
      </c>
      <c r="D1" t="s">
        <v>7</v>
      </c>
      <c r="E1">
        <v>0.75</v>
      </c>
    </row>
    <row r="2" spans="1:6" x14ac:dyDescent="0.25">
      <c r="A2">
        <v>1.0190203099999999</v>
      </c>
      <c r="B2" t="s">
        <v>5</v>
      </c>
    </row>
    <row r="4" spans="1:6" x14ac:dyDescent="0.25">
      <c r="A4" t="s">
        <v>0</v>
      </c>
      <c r="B4" t="s">
        <v>1</v>
      </c>
      <c r="C4" t="s">
        <v>2</v>
      </c>
      <c r="D4" t="s">
        <v>8</v>
      </c>
      <c r="E4" t="s">
        <v>3</v>
      </c>
      <c r="F4" t="s">
        <v>4</v>
      </c>
    </row>
    <row r="5" spans="1:6" x14ac:dyDescent="0.25">
      <c r="A5">
        <v>0</v>
      </c>
      <c r="B5">
        <f>$A$1*E1</f>
        <v>1.4477123924999999</v>
      </c>
      <c r="C5">
        <f>$A$2*(E1)</f>
        <v>0.76426523249999989</v>
      </c>
      <c r="D5">
        <f>(2-C5)</f>
        <v>1.2357347675000001</v>
      </c>
      <c r="E5">
        <f>ABS(B5-($A$1/$A$2))</f>
        <v>0.44654150122268765</v>
      </c>
      <c r="F5">
        <f>-LOG(E5,2)</f>
        <v>1.1631338303454049</v>
      </c>
    </row>
    <row r="6" spans="1:6" x14ac:dyDescent="0.25">
      <c r="A6">
        <v>1</v>
      </c>
      <c r="B6">
        <f>B5*D5</f>
        <v>1.7889885367528564</v>
      </c>
      <c r="C6">
        <f>C5*D5</f>
        <v>0.94442911939172092</v>
      </c>
      <c r="D6">
        <f>(2-C6)</f>
        <v>1.0555708806082791</v>
      </c>
      <c r="E6">
        <f t="shared" ref="E6:E13" si="0">ABS(B6-($A$1/$A$2))</f>
        <v>0.10526535696983119</v>
      </c>
      <c r="F6">
        <f t="shared" ref="F6:F13" si="1">-LOG(E6,2)</f>
        <v>3.2478973741084429</v>
      </c>
    </row>
    <row r="7" spans="1:6" x14ac:dyDescent="0.25">
      <c r="A7">
        <v>2</v>
      </c>
      <c r="B7">
        <f>B6*D6</f>
        <v>1.8884042051383292</v>
      </c>
      <c r="C7">
        <f t="shared" ref="C7:C13" si="2">C6*D6</f>
        <v>0.99691187722842034</v>
      </c>
      <c r="D7">
        <f t="shared" ref="D6:D13" si="3">(2-C7)</f>
        <v>1.0030881227715795</v>
      </c>
      <c r="E7">
        <f t="shared" si="0"/>
        <v>5.8496885843584145E-3</v>
      </c>
      <c r="F7">
        <f t="shared" si="1"/>
        <v>7.4174244616345053</v>
      </c>
    </row>
    <row r="8" spans="1:6" x14ac:dyDescent="0.25">
      <c r="A8">
        <v>3</v>
      </c>
      <c r="B8">
        <f>B7*D7</f>
        <v>1.8942358291661634</v>
      </c>
      <c r="C8">
        <f t="shared" si="2"/>
        <v>0.99999046349774756</v>
      </c>
      <c r="D8">
        <f t="shared" si="3"/>
        <v>1.0000095365022523</v>
      </c>
      <c r="E8">
        <f t="shared" si="0"/>
        <v>1.8064556524199915E-5</v>
      </c>
      <c r="F8">
        <f t="shared" si="1"/>
        <v>15.75647863667121</v>
      </c>
    </row>
    <row r="9" spans="1:6" x14ac:dyDescent="0.25">
      <c r="A9">
        <v>4</v>
      </c>
      <c r="B9">
        <f t="shared" ref="B7:B13" si="4">B8*D8</f>
        <v>1.8942538935504147</v>
      </c>
      <c r="C9">
        <f t="shared" si="2"/>
        <v>0.99999999990905497</v>
      </c>
      <c r="D9">
        <f t="shared" si="3"/>
        <v>1.000000000090945</v>
      </c>
      <c r="E9">
        <f t="shared" si="0"/>
        <v>1.7227286264187569E-10</v>
      </c>
      <c r="F9">
        <f t="shared" si="1"/>
        <v>32.434585490580993</v>
      </c>
    </row>
    <row r="10" spans="1:6" x14ac:dyDescent="0.25">
      <c r="A10">
        <v>5</v>
      </c>
      <c r="B10">
        <f t="shared" si="4"/>
        <v>1.8942538937226878</v>
      </c>
      <c r="C10">
        <f t="shared" si="2"/>
        <v>1</v>
      </c>
      <c r="D10">
        <f t="shared" si="3"/>
        <v>1</v>
      </c>
      <c r="E10">
        <f t="shared" si="0"/>
        <v>2.2204460492503131E-16</v>
      </c>
      <c r="F10">
        <f t="shared" si="1"/>
        <v>52</v>
      </c>
    </row>
    <row r="11" spans="1:6" x14ac:dyDescent="0.25">
      <c r="A11">
        <v>6</v>
      </c>
      <c r="B11">
        <f t="shared" si="4"/>
        <v>1.8942538937226878</v>
      </c>
      <c r="C11">
        <f t="shared" si="2"/>
        <v>1</v>
      </c>
      <c r="D11">
        <f t="shared" si="3"/>
        <v>1</v>
      </c>
      <c r="E11">
        <f t="shared" si="0"/>
        <v>2.2204460492503131E-16</v>
      </c>
      <c r="F11">
        <f t="shared" si="1"/>
        <v>52</v>
      </c>
    </row>
    <row r="12" spans="1:6" x14ac:dyDescent="0.25">
      <c r="A12">
        <v>7</v>
      </c>
      <c r="B12">
        <f t="shared" si="4"/>
        <v>1.8942538937226878</v>
      </c>
      <c r="C12">
        <f t="shared" si="2"/>
        <v>1</v>
      </c>
      <c r="D12">
        <f t="shared" si="3"/>
        <v>1</v>
      </c>
      <c r="E12">
        <f t="shared" si="0"/>
        <v>2.2204460492503131E-16</v>
      </c>
      <c r="F12">
        <f t="shared" si="1"/>
        <v>52</v>
      </c>
    </row>
    <row r="13" spans="1:6" x14ac:dyDescent="0.25">
      <c r="A13">
        <v>8</v>
      </c>
      <c r="B13">
        <f t="shared" si="4"/>
        <v>1.8942538937226878</v>
      </c>
      <c r="C13">
        <f t="shared" si="2"/>
        <v>1</v>
      </c>
      <c r="D13">
        <f t="shared" si="3"/>
        <v>1</v>
      </c>
      <c r="E13">
        <f t="shared" si="0"/>
        <v>2.2204460492503131E-16</v>
      </c>
      <c r="F13">
        <f t="shared" si="1"/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Parsley</dc:creator>
  <cp:lastModifiedBy>Thomas Parsley</cp:lastModifiedBy>
  <dcterms:created xsi:type="dcterms:W3CDTF">2025-11-29T04:08:34Z</dcterms:created>
  <dcterms:modified xsi:type="dcterms:W3CDTF">2025-12-07T00:36:35Z</dcterms:modified>
</cp:coreProperties>
</file>