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00757433d71763/Documents/"/>
    </mc:Choice>
  </mc:AlternateContent>
  <xr:revisionPtr revIDLastSave="50" documentId="8_{5EB9AA7B-43A4-4E75-A81A-D4FE7ED6C725}" xr6:coauthVersionLast="47" xr6:coauthVersionMax="47" xr10:uidLastSave="{A1C990B1-83B8-4D96-A2EC-4C25F00DD458}"/>
  <bookViews>
    <workbookView xWindow="28680" yWindow="-120" windowWidth="29040" windowHeight="15720" xr2:uid="{D033A8ED-B24F-4A91-A6C6-AA98DEB1D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E6" i="1" s="1"/>
  <c r="C5" i="1"/>
  <c r="E5" i="1" s="1"/>
  <c r="E13" i="1"/>
  <c r="E12" i="1"/>
  <c r="E11" i="1"/>
  <c r="E10" i="1"/>
  <c r="E9" i="1"/>
  <c r="E8" i="1"/>
  <c r="E7" i="1"/>
  <c r="B6" i="1"/>
  <c r="B5" i="1"/>
  <c r="D5" i="1"/>
  <c r="D6" i="1" l="1"/>
  <c r="B7" i="1" s="1"/>
  <c r="F5" i="1"/>
  <c r="F6" i="1" l="1"/>
  <c r="D7" i="1" l="1"/>
  <c r="F7" i="1" l="1"/>
  <c r="B8" i="1" l="1"/>
  <c r="D8" i="1" l="1"/>
  <c r="F8" i="1"/>
  <c r="B9" i="1"/>
  <c r="F9" i="1" l="1"/>
  <c r="D9" i="1"/>
  <c r="B10" i="1" l="1"/>
  <c r="F10" i="1" l="1"/>
  <c r="D10" i="1"/>
  <c r="B11" i="1" s="1"/>
  <c r="F11" i="1" l="1"/>
  <c r="D11" i="1"/>
  <c r="B12" i="1" l="1"/>
  <c r="F12" i="1" l="1"/>
  <c r="D12" i="1"/>
  <c r="B13" i="1" s="1"/>
  <c r="D13" i="1" l="1"/>
  <c r="F13" i="1"/>
</calcChain>
</file>

<file path=xl/sharedStrings.xml><?xml version="1.0" encoding="utf-8"?>
<sst xmlns="http://schemas.openxmlformats.org/spreadsheetml/2006/main" count="9" uniqueCount="9">
  <si>
    <t>N(X)</t>
  </si>
  <si>
    <t>IA(K_0)</t>
  </si>
  <si>
    <t>D(Y)</t>
  </si>
  <si>
    <t>i</t>
  </si>
  <si>
    <t>q*K</t>
  </si>
  <si>
    <t>(3-D*xi^2)/2</t>
  </si>
  <si>
    <t>Error</t>
  </si>
  <si>
    <t>bit</t>
  </si>
  <si>
    <t>q*K*D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</si>
</sst>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DF7E-C0C8-41BC-BA58-5DE22C6A4A35}">
  <dimension ref="A1:F13"/>
  <sheetViews>
    <sheetView tabSelected="1" workbookViewId="0">
      <selection activeCell="C5" sqref="C5:C13"/>
    </sheetView>
  </sheetViews>
  <sheetFormatPr defaultRowHeight="15" x14ac:dyDescent="0.25"/>
  <cols>
    <col min="1" max="1" width="27.5703125" customWidth="1"/>
    <col min="2" max="2" width="26.5703125" customWidth="1"/>
    <col min="3" max="3" width="19.5703125" customWidth="1"/>
    <col min="4" max="4" width="29.42578125" customWidth="1"/>
    <col min="5" max="5" width="23" customWidth="1"/>
    <col min="6" max="6" width="22.42578125" customWidth="1"/>
  </cols>
  <sheetData>
    <row r="1" spans="1:6" x14ac:dyDescent="0.25">
      <c r="A1">
        <v>1</v>
      </c>
      <c r="B1" t="s">
        <v>0</v>
      </c>
      <c r="D1" t="s">
        <v>1</v>
      </c>
      <c r="E1">
        <v>0.75</v>
      </c>
    </row>
    <row r="2" spans="1:6" x14ac:dyDescent="0.25">
      <c r="A2">
        <v>1.0190203099999999</v>
      </c>
      <c r="B2" t="s">
        <v>2</v>
      </c>
    </row>
    <row r="4" spans="1:6" x14ac:dyDescent="0.25">
      <c r="A4" t="s">
        <v>3</v>
      </c>
      <c r="B4" t="s">
        <v>4</v>
      </c>
      <c r="C4" t="s">
        <v>8</v>
      </c>
      <c r="D4" t="s">
        <v>5</v>
      </c>
      <c r="E4" t="s">
        <v>6</v>
      </c>
      <c r="F4" t="s">
        <v>7</v>
      </c>
    </row>
    <row r="5" spans="1:6" x14ac:dyDescent="0.25">
      <c r="A5">
        <v>0</v>
      </c>
      <c r="B5">
        <f>E1</f>
        <v>0.75</v>
      </c>
      <c r="C5">
        <f>B5*$A$2</f>
        <v>0.76426523249999989</v>
      </c>
      <c r="D5">
        <f>(3-$A$2*(B5^2))/2</f>
        <v>1.2134005378124999</v>
      </c>
      <c r="E5">
        <f>ABS(C5-SQRT($A$2))</f>
        <v>0.24520012599428731</v>
      </c>
      <c r="F5">
        <f>-LOG(E5,2)</f>
        <v>2.0279683745402064</v>
      </c>
    </row>
    <row r="6" spans="1:6" x14ac:dyDescent="0.25">
      <c r="A6">
        <v>1</v>
      </c>
      <c r="B6">
        <f>B5*D5</f>
        <v>0.91005040335937493</v>
      </c>
      <c r="C6">
        <f t="shared" ref="C6:C13" si="0">B6*$A$2</f>
        <v>0.92735984414689521</v>
      </c>
      <c r="D6">
        <f t="shared" ref="D6:D13" si="1">(3-$A$2*(B6^2))/2</f>
        <v>1.0780278998874155</v>
      </c>
      <c r="E6">
        <f t="shared" ref="E6:E13" si="2">ABS(C6-SQRT($A$2))</f>
        <v>8.2105514347391995E-2</v>
      </c>
      <c r="F6">
        <f t="shared" ref="F6:F13" si="3">-LOG(E6,2)</f>
        <v>3.606377070640379</v>
      </c>
    </row>
    <row r="7" spans="1:6" x14ac:dyDescent="0.25">
      <c r="A7">
        <v>2</v>
      </c>
      <c r="B7">
        <f>B6*D6</f>
        <v>0.98105972512520234</v>
      </c>
      <c r="C7">
        <f t="shared" si="0"/>
        <v>0.99971978522559846</v>
      </c>
      <c r="D7">
        <f t="shared" si="1"/>
        <v>1.009607591152174</v>
      </c>
      <c r="E7">
        <f t="shared" si="2"/>
        <v>9.7455732686887453E-3</v>
      </c>
      <c r="F7">
        <f t="shared" si="3"/>
        <v>6.6810372323170615</v>
      </c>
    </row>
    <row r="8" spans="1:6" x14ac:dyDescent="0.25">
      <c r="A8">
        <v>3</v>
      </c>
      <c r="B8">
        <f>B7*D7</f>
        <v>0.99048534586006953</v>
      </c>
      <c r="C8">
        <f t="shared" si="0"/>
        <v>1.0093246841887853</v>
      </c>
      <c r="D8">
        <f t="shared" si="1"/>
        <v>1.0001393455480829</v>
      </c>
      <c r="E8">
        <f t="shared" si="2"/>
        <v>1.4067430550190885E-4</v>
      </c>
      <c r="F8">
        <f t="shared" si="3"/>
        <v>12.795353538609465</v>
      </c>
    </row>
    <row r="9" spans="1:6" x14ac:dyDescent="0.25">
      <c r="A9">
        <v>4</v>
      </c>
      <c r="B9">
        <f t="shared" ref="B7:B13" si="4">B8*D8</f>
        <v>0.99062336558345654</v>
      </c>
      <c r="C9">
        <f t="shared" si="0"/>
        <v>1.0094653290900972</v>
      </c>
      <c r="D9">
        <f t="shared" si="1"/>
        <v>1.0000000291284783</v>
      </c>
      <c r="E9">
        <f t="shared" si="2"/>
        <v>2.9404189971771189E-8</v>
      </c>
      <c r="F9">
        <f t="shared" si="3"/>
        <v>25.019403011493296</v>
      </c>
    </row>
    <row r="10" spans="1:6" x14ac:dyDescent="0.25">
      <c r="A10">
        <v>5</v>
      </c>
      <c r="B10">
        <f t="shared" si="4"/>
        <v>0.99062339443880776</v>
      </c>
      <c r="C10">
        <f t="shared" si="0"/>
        <v>1.0094653584942861</v>
      </c>
      <c r="D10">
        <f t="shared" si="1"/>
        <v>1.0000000000000011</v>
      </c>
      <c r="E10">
        <f t="shared" si="2"/>
        <v>1.1102230246251565E-15</v>
      </c>
      <c r="F10">
        <f t="shared" si="3"/>
        <v>49.678071905112645</v>
      </c>
    </row>
    <row r="11" spans="1:6" x14ac:dyDescent="0.25">
      <c r="A11">
        <v>6</v>
      </c>
      <c r="B11">
        <f t="shared" si="4"/>
        <v>0.99062339443880887</v>
      </c>
      <c r="C11">
        <f t="shared" si="0"/>
        <v>1.0094653584942872</v>
      </c>
      <c r="D11">
        <f t="shared" si="1"/>
        <v>1</v>
      </c>
      <c r="E11">
        <f t="shared" si="2"/>
        <v>0</v>
      </c>
      <c r="F11" t="e">
        <f t="shared" si="3"/>
        <v>#NUM!</v>
      </c>
    </row>
    <row r="12" spans="1:6" x14ac:dyDescent="0.25">
      <c r="A12">
        <v>7</v>
      </c>
      <c r="B12">
        <f t="shared" si="4"/>
        <v>0.99062339443880887</v>
      </c>
      <c r="C12">
        <f t="shared" si="0"/>
        <v>1.0094653584942872</v>
      </c>
      <c r="D12">
        <f t="shared" si="1"/>
        <v>1</v>
      </c>
      <c r="E12">
        <f t="shared" si="2"/>
        <v>0</v>
      </c>
      <c r="F12" t="e">
        <f t="shared" si="3"/>
        <v>#NUM!</v>
      </c>
    </row>
    <row r="13" spans="1:6" x14ac:dyDescent="0.25">
      <c r="A13">
        <v>8</v>
      </c>
      <c r="B13">
        <f t="shared" si="4"/>
        <v>0.99062339443880887</v>
      </c>
      <c r="C13">
        <f t="shared" si="0"/>
        <v>1.0094653584942872</v>
      </c>
      <c r="D13">
        <f t="shared" si="1"/>
        <v>1</v>
      </c>
      <c r="E13">
        <f t="shared" si="2"/>
        <v>0</v>
      </c>
      <c r="F13" t="e">
        <f t="shared" si="3"/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Parsley</dc:creator>
  <cp:lastModifiedBy>Thomas Parsley</cp:lastModifiedBy>
  <dcterms:created xsi:type="dcterms:W3CDTF">2025-12-06T23:37:50Z</dcterms:created>
  <dcterms:modified xsi:type="dcterms:W3CDTF">2025-12-07T00:08:13Z</dcterms:modified>
</cp:coreProperties>
</file>